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abian\Documents\2026-02\PTY4614 - CAPSTONE\2.1 EXPERIENCIA DE APRENDIZAJE 1\Grupo 002\"/>
    </mc:Choice>
  </mc:AlternateContent>
  <xr:revisionPtr revIDLastSave="0" documentId="13_ncr:1_{367A1495-5F10-4AA2-B574-4D4CF6BC30EB}" xr6:coauthVersionLast="47" xr6:coauthVersionMax="47" xr10:uidLastSave="{00000000-0000-0000-0000-000000000000}"/>
  <bookViews>
    <workbookView xWindow="-120" yWindow="-120" windowWidth="2064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E17" i="1"/>
  <c r="G17" i="1"/>
  <c r="I17" i="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G16" i="1"/>
  <c r="J15" i="1"/>
  <c r="K15" i="1" s="1"/>
  <c r="H15" i="1"/>
  <c r="I15" i="1" s="1"/>
  <c r="G15" i="1"/>
  <c r="J13" i="1"/>
  <c r="K13" i="1" s="1"/>
  <c r="H13" i="1"/>
  <c r="I13" i="1" s="1"/>
  <c r="F13" i="1"/>
  <c r="G13" i="1" s="1"/>
  <c r="E23" i="1" l="1"/>
  <c r="G23" i="1"/>
  <c r="I23" i="1"/>
  <c r="C34" i="1" l="1"/>
  <c r="K23" i="1"/>
  <c r="C23" i="1" s="1"/>
  <c r="C24" i="1" s="1"/>
  <c r="C6" i="1" s="1"/>
  <c r="E6" i="1" s="1"/>
  <c r="C35" i="1" l="1"/>
  <c r="D4" i="1" s="1"/>
  <c r="C5" i="1"/>
  <c r="E5" i="1" s="1"/>
  <c r="C4" i="1"/>
  <c r="E4" i="1" l="1"/>
</calcChain>
</file>

<file path=xl/sharedStrings.xml><?xml version="1.0" encoding="utf-8"?>
<sst xmlns="http://schemas.openxmlformats.org/spreadsheetml/2006/main" count="160" uniqueCount="98">
  <si>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</si>
  <si>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</si>
  <si>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</si>
  <si>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</si>
  <si>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</si>
  <si>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</si>
  <si>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</si>
  <si>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</si>
  <si>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</si>
  <si>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</si>
  <si>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</si>
  <si>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</si>
  <si>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</si>
  <si>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</si>
  <si>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</si>
  <si>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</si>
  <si>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</si>
  <si>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</si>
  <si>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</si>
  <si>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</si>
  <si>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</si>
  <si>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</si>
  <si>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</si>
  <si>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</si>
  <si>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</si>
  <si>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</si>
  <si>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</si>
  <si>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</si>
  <si>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</si>
  <si>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</si>
  <si>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</si>
  <si>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</si>
  <si>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</si>
  <si>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</si>
  <si>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</si>
  <si>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</si>
  <si>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</si>
  <si>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</si>
  <si>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</si>
  <si>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</si>
  <si>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</si>
  <si>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</si>
  <si>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</si>
  <si>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</si>
  <si>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</si>
  <si>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</si>
  <si>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</si>
  <si>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</si>
  <si>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</si>
  <si>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</si>
  <si>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</si>
  <si>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</si>
  <si>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</si>
  <si>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</si>
  <si>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</si>
  <si>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</si>
  <si>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</si>
  <si>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</si>
  <si>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</si>
  <si>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</si>
  <si>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</si>
  <si>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</si>
  <si>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</si>
  <si>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</si>
  <si>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</si>
  <si>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</si>
  <si>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</si>
  <si>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</si>
  <si>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</si>
  <si>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</si>
  <si>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</si>
  <si>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</si>
  <si>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</si>
  <si>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</si>
  <si>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</si>
  <si>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</si>
  <si>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</si>
  <si>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</si>
  <si>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</si>
  <si>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</si>
  <si>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</si>
  <si>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</si>
  <si>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</si>
  <si>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</si>
  <si>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</si>
  <si>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</si>
  <si>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</si>
  <si>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</si>
  <si>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</si>
  <si>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</si>
  <si>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</si>
  <si>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</si>
  <si>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</si>
  <si>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</si>
  <si>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</si>
  <si>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IGNACIO ISMAEL CHAMORRO VILLEGAS</t>
  </si>
  <si>
    <t>HANS BAYRON MAX MOERBECK PAVEZ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</si>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</sst>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 zoomScale="120" zoomScaleNormal="120" workbookViewId="0">
      <selection activeCell="A2" sqref="A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5.6</v>
      </c>
      <c r="D4" s="6">
        <f>$C$35</f>
        <v>7</v>
      </c>
      <c r="E4" s="43">
        <f>C4*C$2+D4*D$2</f>
        <v>5.9499999999999993</v>
      </c>
      <c r="G4" s="1"/>
    </row>
    <row r="5" spans="1:11" x14ac:dyDescent="0.25">
      <c r="A5" s="5">
        <v>2</v>
      </c>
      <c r="B5" s="32" t="s">
        <v>96</v>
      </c>
      <c r="C5" s="6">
        <f>EVALUACION1!$C$24</f>
        <v>5.6</v>
      </c>
      <c r="D5" s="6">
        <f>C47</f>
        <v>7</v>
      </c>
      <c r="E5" s="43">
        <f t="shared" ref="E5" si="0">C5*C$2+D5*D$2</f>
        <v>5.9499999999999993</v>
      </c>
      <c r="G5" s="1"/>
    </row>
    <row r="6" spans="1:11" x14ac:dyDescent="0.25">
      <c r="A6" s="5">
        <v>3</v>
      </c>
      <c r="B6" s="32"/>
      <c r="C6" s="6">
        <f>EVALUACION1!$C$24</f>
        <v>5.6</v>
      </c>
      <c r="D6" s="6">
        <v>7</v>
      </c>
      <c r="E6" s="43">
        <f t="shared" ref="E6" si="1">C6*C$2+D6*D$2</f>
        <v>5.9499999999999993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c r="E14" s="16" t="str">
        <f t="shared" ref="E14" si="7">IF(D14="X",100*0.05,"")</f>
        <v/>
      </c>
      <c r="F14" s="16" t="s">
        <v>97</v>
      </c>
      <c r="G14" s="16">
        <f t="shared" ref="G14" si="8">IF(F14="X",60*0.05,"")</f>
        <v>3</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c r="E15" s="16" t="str">
        <f t="shared" ref="E15:E21" si="10">IF(D15="X",100*0.05,"")</f>
        <v/>
      </c>
      <c r="F15" s="16" t="s">
        <v>97</v>
      </c>
      <c r="G15" s="16">
        <f t="shared" ref="G15:G21" si="11">IF(F15="X",60*0.05,"")</f>
        <v>3</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c r="E16" s="16" t="str">
        <f>IF(D16="X",100*0.05,"")</f>
        <v/>
      </c>
      <c r="F16" s="16" t="s">
        <v>97</v>
      </c>
      <c r="G16" s="16">
        <f>IF(F16="X",60*0.05,"")</f>
        <v>3</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3">IF(D17="X",100*0.1,"")</f>
        <v/>
      </c>
      <c r="F17" s="16"/>
      <c r="G17" s="16" t="str">
        <f t="shared" ref="G17" si="14">IF(F17="X",60*0.1,"")</f>
        <v/>
      </c>
      <c r="H17" s="16" t="s">
        <v>97</v>
      </c>
      <c r="I17" s="16">
        <f t="shared" ref="I17" si="15">IF(H17="X",30*0.1,"")</f>
        <v>3</v>
      </c>
      <c r="J17" s="16" t="str">
        <f t="shared" ref="J17:J22" si="16">IF($C17=NL,"X","")</f>
        <v/>
      </c>
      <c r="K17" s="16" t="str">
        <f t="shared" ref="K17:K22" si="17">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ref="D17:D22" si="18">IF($C18=CL,"X","")</f>
        <v>X</v>
      </c>
      <c r="E18" s="16">
        <f t="shared" ref="E18" si="19">IF(D18="X",100*0.1,"")</f>
        <v>10</v>
      </c>
      <c r="F18" s="16" t="str">
        <f t="shared" ref="F17:F22" si="20">IF($C18=L,"X","")</f>
        <v/>
      </c>
      <c r="G18" s="16" t="str">
        <f t="shared" ref="G18" si="21">IF(F18="X",60*0.1,"")</f>
        <v/>
      </c>
      <c r="H18" s="16" t="str">
        <f t="shared" ref="H17:H22" si="22">IF($C18=ML,"X","")</f>
        <v/>
      </c>
      <c r="I18" s="16" t="str">
        <f t="shared" ref="I18" si="23">IF(H18="X",30*0.1,"")</f>
        <v/>
      </c>
      <c r="J18" s="16" t="str">
        <f t="shared" si="16"/>
        <v/>
      </c>
      <c r="K18" s="16" t="str">
        <f t="shared" si="17"/>
        <v/>
      </c>
    </row>
    <row r="19" spans="1:11" ht="24" outlineLevel="1" x14ac:dyDescent="0.25">
      <c r="A19" s="65"/>
      <c r="B19" s="35" t="str">
        <f>RUBRICA!A12</f>
        <v>8. Determina evidencias, justificando cómo estas dan cuenta del logro de las actividades del Proyecto APT.</v>
      </c>
      <c r="C19" s="33" t="s">
        <v>7</v>
      </c>
      <c r="D19" s="16" t="str">
        <f t="shared" si="18"/>
        <v>X</v>
      </c>
      <c r="E19" s="16">
        <f>IF(D19="X",100*0.05,"")</f>
        <v>5</v>
      </c>
      <c r="F19" s="16" t="str">
        <f t="shared" si="20"/>
        <v/>
      </c>
      <c r="G19" s="16" t="str">
        <f t="shared" ref="G19" si="24">IF(F19="X",60*0.05,"")</f>
        <v/>
      </c>
      <c r="H19" s="16" t="str">
        <f t="shared" si="22"/>
        <v/>
      </c>
      <c r="I19" s="16" t="str">
        <f t="shared" ref="I19" si="25">IF(H19="X",30*0.05,"")</f>
        <v/>
      </c>
      <c r="J19" s="16" t="str">
        <f t="shared" si="16"/>
        <v/>
      </c>
      <c r="K19" s="16" t="str">
        <f t="shared" si="17"/>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8"/>
        <v>X</v>
      </c>
      <c r="E20" s="16">
        <f>IF(D20="X",100*0.05,"")</f>
        <v>5</v>
      </c>
      <c r="F20" s="16" t="str">
        <f t="shared" si="20"/>
        <v/>
      </c>
      <c r="G20" s="16" t="str">
        <f t="shared" si="11"/>
        <v/>
      </c>
      <c r="H20" s="16" t="str">
        <f t="shared" si="22"/>
        <v/>
      </c>
      <c r="I20" s="16" t="str">
        <f t="shared" si="12"/>
        <v/>
      </c>
      <c r="J20" s="16" t="str">
        <f t="shared" si="16"/>
        <v/>
      </c>
      <c r="K20" s="16" t="str">
        <f t="shared" si="17"/>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8"/>
        <v>X</v>
      </c>
      <c r="E21" s="16">
        <f t="shared" si="10"/>
        <v>5</v>
      </c>
      <c r="F21" s="16" t="str">
        <f t="shared" si="20"/>
        <v/>
      </c>
      <c r="G21" s="16" t="str">
        <f t="shared" si="11"/>
        <v/>
      </c>
      <c r="H21" s="16" t="str">
        <f t="shared" si="22"/>
        <v/>
      </c>
      <c r="I21" s="16" t="str">
        <f t="shared" si="12"/>
        <v/>
      </c>
      <c r="J21" s="16" t="str">
        <f t="shared" si="16"/>
        <v/>
      </c>
      <c r="K21" s="16" t="str">
        <f t="shared" si="17"/>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8"/>
        <v>X</v>
      </c>
      <c r="E22" s="16">
        <f>IF(D22="X",100*0.1,"")</f>
        <v>10</v>
      </c>
      <c r="F22" s="16" t="str">
        <f t="shared" si="20"/>
        <v/>
      </c>
      <c r="G22" s="16" t="str">
        <f>IF(F22="X",60*0.1,"")</f>
        <v/>
      </c>
      <c r="H22" s="16" t="str">
        <f t="shared" si="22"/>
        <v/>
      </c>
      <c r="I22" s="16" t="str">
        <f>IF(H22="X",30*0.1,"")</f>
        <v/>
      </c>
      <c r="J22" s="16" t="str">
        <f t="shared" si="16"/>
        <v/>
      </c>
      <c r="K22" s="16" t="str">
        <f t="shared" si="17"/>
        <v/>
      </c>
    </row>
    <row r="23" spans="1:11" ht="15.75" customHeight="1" outlineLevel="1" x14ac:dyDescent="0.3">
      <c r="A23" s="61"/>
      <c r="B23" s="34" t="s">
        <v>11</v>
      </c>
      <c r="C23" s="37">
        <f>E23+G23+I23+K23</f>
        <v>57</v>
      </c>
      <c r="D23" s="19"/>
      <c r="E23" s="19">
        <f>SUM(E13:E22)</f>
        <v>45</v>
      </c>
      <c r="F23" s="19"/>
      <c r="G23" s="19">
        <f>SUM(G13:G22)</f>
        <v>9</v>
      </c>
      <c r="H23" s="19"/>
      <c r="I23" s="19">
        <f>SUM(I13:I22)</f>
        <v>3</v>
      </c>
      <c r="J23" s="19"/>
      <c r="K23" s="19">
        <f>SUM(K13:K22)</f>
        <v>0</v>
      </c>
    </row>
    <row r="24" spans="1:11" ht="15.75" customHeight="1" outlineLevel="1" x14ac:dyDescent="0.3">
      <c r="A24" s="50"/>
      <c r="B24" s="36" t="s">
        <v>12</v>
      </c>
      <c r="C24" s="20">
        <f>VLOOKUP(C23,ESCALA_IEP!A2:B142,2,FALSE)</f>
        <v>5.6</v>
      </c>
    </row>
    <row r="25" spans="1:11" ht="15.75" customHeight="1" x14ac:dyDescent="0.25"/>
    <row r="26" spans="1:11" ht="15.75" customHeight="1" x14ac:dyDescent="0.25"/>
    <row r="27" spans="1:11" ht="15.75" customHeight="1" x14ac:dyDescent="0.25">
      <c r="A27" s="60" t="s">
        <v>13</v>
      </c>
      <c r="B27" s="49" t="s">
        <v>14</v>
      </c>
      <c r="C27" s="52" t="str">
        <f>$B$4</f>
        <v>IGNACIO ISMAEL CHAMORRO VILLEGAS</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HANS BAYRON MAX MOERBECK PAVEZ</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3"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Alvarez Montenegro</cp:lastModifiedBy>
  <cp:revision/>
  <dcterms:created xsi:type="dcterms:W3CDTF">2023-08-07T04:08:01Z</dcterms:created>
  <dcterms:modified xsi:type="dcterms:W3CDTF">2026-09-09T23:40:50Z</dcterms:modified>
  <cp:category/>
  <cp:contentStatus/>
</cp:coreProperties>
</file>